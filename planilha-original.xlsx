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&amp; Justificativas" sheetId="1" state="visible" r:id="rId1"/>
    <sheet xmlns:r="http://schemas.openxmlformats.org/officeDocument/2006/relationships" name="Simulador Individual" sheetId="2" state="visible" r:id="rId2"/>
    <sheet xmlns:r="http://schemas.openxmlformats.org/officeDocument/2006/relationships" name="Comparador de Propostas" sheetId="3" state="visible" r:id="rId3"/>
    <sheet xmlns:r="http://schemas.openxmlformats.org/officeDocument/2006/relationships" name="Evolução INCC &amp; Tem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i val="1"/>
      <color rgb="00595959"/>
      <sz val="10"/>
    </font>
    <font>
      <name val="Calibri"/>
      <b val="1"/>
      <color rgb="00006100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0" pivotButton="0" quotePrefix="0" xfId="0"/>
    <xf numFmtId="0" fontId="0" fillId="4" borderId="0" pivotButton="0" quotePrefix="0" xfId="0"/>
    <xf numFmtId="0" fontId="6" fillId="0" borderId="1" pivotButton="0" quotePrefix="0" xfId="0"/>
    <xf numFmtId="164" fontId="6" fillId="5" borderId="1" pivotButton="0" quotePrefix="0" xfId="0"/>
    <xf numFmtId="0" fontId="7" fillId="0" borderId="1" pivotButton="0" quotePrefix="0" xfId="0"/>
    <xf numFmtId="165" fontId="6" fillId="5" borderId="1" pivotButton="0" quotePrefix="0" xfId="0"/>
    <xf numFmtId="0" fontId="6" fillId="5" borderId="1" pivotButton="0" quotePrefix="0" xfId="0"/>
    <xf numFmtId="3" fontId="6" fillId="5" borderId="1" pivotButton="0" quotePrefix="0" xfId="0"/>
    <xf numFmtId="165" fontId="6" fillId="6" borderId="1" pivotButton="0" quotePrefix="0" xfId="0"/>
    <xf numFmtId="164" fontId="6" fillId="6" borderId="1" pivotButton="0" quotePrefix="0" xfId="0"/>
    <xf numFmtId="0" fontId="6" fillId="6" borderId="1" pivotButton="0" quotePrefix="0" xfId="0"/>
    <xf numFmtId="0" fontId="8" fillId="7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4" fillId="0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5" customWidth="1" min="3" max="3"/>
    <col width="30" customWidth="1" min="4" max="4"/>
    <col width="30" customWidth="1" min="5" max="5"/>
  </cols>
  <sheetData>
    <row r="1">
      <c r="A1" s="1" t="inlineStr">
        <is>
          <t>MANUAL DO SIMULADOR E JUSTIFICATIVA DAS MÉTRICAS</t>
        </is>
      </c>
    </row>
    <row r="2">
      <c r="A2" s="2" t="inlineStr">
        <is>
          <t>Entenda o que cada campo analisa e a fundamentação matemática/estratégica de cada indicador.</t>
        </is>
      </c>
    </row>
    <row r="4">
      <c r="A4" s="3" t="inlineStr">
        <is>
          <t>Métrica / Campo Analisado</t>
        </is>
      </c>
      <c r="B4" s="3" t="inlineStr">
        <is>
          <t>O que Analisa?</t>
        </is>
      </c>
      <c r="C4" s="3" t="inlineStr">
        <is>
          <t>Por que é Analisado? (Justificativa Estratégica)</t>
        </is>
      </c>
      <c r="D4" s="3" t="inlineStr">
        <is>
          <t>Critério Ideal / Sinal Verde</t>
        </is>
      </c>
      <c r="E4" s="3" t="inlineStr">
        <is>
          <t>Alerta Vermelho / Reprovação</t>
        </is>
      </c>
    </row>
    <row r="5">
      <c r="A5" s="4" t="inlineStr">
        <is>
          <t>Renda Mensal Líquida (R$)</t>
        </is>
      </c>
      <c r="B5" s="4" t="inlineStr">
        <is>
          <t>O total de receita líquida que você/sua família recebe por mês.</t>
        </is>
      </c>
      <c r="C5" s="4" t="inlineStr">
        <is>
          <t>Serve para calcular a taxa de comprometimento da parcela no seu orçamento e garantir que você não assuma dívidas incompatíveis.</t>
        </is>
      </c>
      <c r="D5" s="4" t="inlineStr">
        <is>
          <t>Parcela comprometendo até 10% a 12% da renda líquida.</t>
        </is>
      </c>
      <c r="E5" s="4" t="inlineStr">
        <is>
          <t>Parcela acima de 15% da renda (risco alto de inadimplência/cancelamento).</t>
        </is>
      </c>
    </row>
    <row r="6">
      <c r="A6" s="5" t="inlineStr">
        <is>
          <t>Reserva de Emergência Intocável (R$)</t>
        </is>
      </c>
      <c r="B6" s="5" t="inlineStr">
        <is>
          <t>O saldo guardado em renda fixa com liquidez diária para imprevistos.</t>
        </is>
      </c>
      <c r="C6" s="5" t="inlineStr">
        <is>
          <t>O consórcio é investimento de médio/longo prazo. Se você usar a reserva para pagar parcelas, ficará desprotegido em emergências.</t>
        </is>
      </c>
      <c r="D6" s="5" t="inlineStr">
        <is>
          <t>Manter de 3 a 6 meses de custo de vida intactos em Renda Fixa.</t>
        </is>
      </c>
      <c r="E6" s="5" t="inlineStr">
        <is>
          <t>Usar a reserva de emergência para pagar lances ou parcelas do consórcio.</t>
        </is>
      </c>
    </row>
    <row r="7">
      <c r="A7" s="4" t="inlineStr">
        <is>
          <t>Quantidade Total de Cotas do Grupo</t>
        </is>
      </c>
      <c r="B7" s="4" t="inlineStr">
        <is>
          <t>O número total de participantes do grupo de consórcio.</t>
        </is>
      </c>
      <c r="C7" s="4" t="inlineStr">
        <is>
          <t>Grupos enxutos têm menor concorrência no sorteio. Grupos gigantes de bancos pulverizam as chances e esvaziam o caixa.</t>
        </is>
      </c>
      <c r="D7" s="4" t="inlineStr">
        <is>
          <t>Grupos enxutos com até 650 cotas.</t>
        </is>
      </c>
      <c r="E7" s="4" t="inlineStr">
        <is>
          <t>Grupos de grandes bancos com 2.000 a 5.000+ cotas.</t>
        </is>
      </c>
    </row>
    <row r="8">
      <c r="A8" s="5" t="inlineStr">
        <is>
          <t>Sorteios por Assembleia (Mensal)</t>
        </is>
      </c>
      <c r="B8" s="5" t="inlineStr">
        <is>
          <t>Quantas cartas de crédito são entregues estritamente por SORTEIO PURO a cada mês.</t>
        </is>
      </c>
      <c r="C8" s="5" t="inlineStr">
        <is>
          <t>A taxa de contemplação matemática por sorteio é a chave do negócio. Aumentar os sorteios sem gastar com lance é o segredo do lucro.</t>
        </is>
      </c>
      <c r="D8" s="5" t="inlineStr">
        <is>
          <t>2 ou mais contemplações por sorteio/mês (ex: 66% do grupo no plano).</t>
        </is>
      </c>
      <c r="E8" s="5" t="inlineStr">
        <is>
          <t>Apenas 1 sorteio mensal em grupo grande (apenas ~9% do grupo contemplado).</t>
        </is>
      </c>
    </row>
    <row r="9">
      <c r="A9" s="4" t="inlineStr">
        <is>
          <t>Tipo de Parcela (Cheia vs. Meia)</t>
        </is>
      </c>
      <c r="B9" s="4" t="inlineStr">
        <is>
          <t>Se o participante paga 100% da parcela ou apenas 50% até a contemplação.</t>
        </is>
      </c>
      <c r="C9" s="4" t="inlineStr">
        <is>
          <t>Planos de meia parcela arrecadam 50% a menos no caixa. Isso reduz as contemplações do grupo pela metade e triplica a parcela ao contemplar.</t>
        </is>
      </c>
      <c r="D9" s="4" t="inlineStr">
        <is>
          <t>Parcela Cheia (100%), garantindo caixa forte e assembleias cheias.</t>
        </is>
      </c>
      <c r="E9" s="4" t="inlineStr">
        <is>
          <t>Meia Parcela / Parcela Reduzida (armadilha comercial).</t>
        </is>
      </c>
    </row>
    <row r="10">
      <c r="A10" s="5" t="inlineStr">
        <is>
          <t>Junção de Grupos Diferentes</t>
        </is>
      </c>
      <c r="B10" s="5" t="inlineStr">
        <is>
          <t>Se a administradora permite somar cartas contempladas de grupos distintos.</t>
        </is>
      </c>
      <c r="C10" s="5" t="inlineStr">
        <is>
          <t>O comprador final de imóvel no mercado secundário busca valores maiores (R$ 300k, R$ 500k). Você precisa poder juntar cartas de R$ 100k.</t>
        </is>
      </c>
      <c r="D10" s="5" t="inlineStr">
        <is>
          <t>Permite junção livre de cartas de qualquer grupo da administradora.</t>
        </is>
      </c>
      <c r="E10" s="5" t="inlineStr">
        <is>
          <t>Rígido: só permite juntar cartas se forem rigorosamente do mesmo grupo.</t>
        </is>
      </c>
    </row>
    <row r="11">
      <c r="A11" s="4" t="inlineStr">
        <is>
          <t>Taxa de Cotas Canceladas / Ata</t>
        </is>
      </c>
      <c r="B11" s="4" t="inlineStr">
        <is>
          <t>A porcentagem de participantes inadimplentes ou desistentes registrada na ata da assembleia.</t>
        </is>
      </c>
      <c r="C11" s="4" t="inlineStr">
        <is>
          <t>Alta taxa de cancelamento seca o dinheiro do fundo comum do grupo, reduzindo as entregas mensais de cartas.</t>
        </is>
      </c>
      <c r="D11" s="4" t="inlineStr">
        <is>
          <t>Menos de 15% a 20% de cotas canceladas na ata oficial do grupo.</t>
        </is>
      </c>
      <c r="E11" s="4" t="inlineStr">
        <is>
          <t>Acima de 30% a 50% de desistentes (comum em vendas casadas de bancos).</t>
        </is>
      </c>
    </row>
    <row r="12">
      <c r="A12" s="5" t="inlineStr">
        <is>
          <t>Cessão / Transferência Digital</t>
        </is>
      </c>
      <c r="B12" s="5" t="inlineStr">
        <is>
          <t>Se a transferência do crédito contemplado para o comprador final é 100% digital via biometria.</t>
        </is>
      </c>
      <c r="C12" s="5" t="inlineStr">
        <is>
          <t>Garante rapidez na venda (2 a 4 semanas) e liquidez para compradores de qualquer cidade do Brasil sem burocracia de cartório.</t>
        </is>
      </c>
      <c r="D12" s="5" t="inlineStr">
        <is>
          <t>Processo 100% digital com assinatura eletrônica e validação biométrica.</t>
        </is>
      </c>
      <c r="E12" s="5" t="inlineStr">
        <is>
          <t>Processo burocrático, exigindo reconhecimento de firma presencial e papelada.</t>
        </is>
      </c>
    </row>
    <row r="13">
      <c r="A13" s="4" t="inlineStr">
        <is>
          <t>Valor do Ágio Esperado (Venda)</t>
        </is>
      </c>
      <c r="B13" s="4" t="inlineStr">
        <is>
          <t>O valor pago pelo comprador final para adquirir sua carta já contemplada.</t>
        </is>
      </c>
      <c r="C13" s="4" t="inlineStr">
        <is>
          <t>O comprador aceita pagar esse valor porque ainda economiza muito comparado aos juros e entrada de um financiamento bancário.</t>
        </is>
      </c>
      <c r="D13" s="4" t="inlineStr">
        <is>
          <t>Ágio calculado a Valor Presente (rentabilidade de 200% a 300% sobre o investido).</t>
        </is>
      </c>
      <c r="E13" s="4" t="inlineStr">
        <is>
          <t>Tentar vender sem margem ou tentar recompra por valor vil da administradora.</t>
        </is>
      </c>
    </row>
    <row r="14">
      <c r="A14" s="5" t="inlineStr">
        <is>
          <t>Isenção de Imposto de Renda (IR)</t>
        </is>
      </c>
      <c r="B14" s="5" t="inlineStr">
        <is>
          <t>Verificação se o valor total de venda no mês respeita a regra da Receita Federal.</t>
        </is>
      </c>
      <c r="C14" s="5" t="inlineStr">
        <is>
          <t>Vendas de bens/direitos até R$ 35.000 no mesmo mês civil são 100% isentas de IR. Acima disso, incide 15% sobre o ganho de capital.</t>
        </is>
      </c>
      <c r="D14" s="5" t="inlineStr">
        <is>
          <t>Venda total de cotas até R$ 35.000/mês (Lucro 100% Limpo).</t>
        </is>
      </c>
      <c r="E14" s="5" t="inlineStr">
        <is>
          <t>Venda superior a R$ 35.000/mês sem planejar o recolhimento de 15% de DARF.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48" customWidth="1" min="3" max="3"/>
  </cols>
  <sheetData>
    <row r="1">
      <c r="A1" s="1" t="inlineStr">
        <is>
          <t>SIMULADOR DE AVALIAÇÃO DE PROPOSTA DE CONSÓRCIO v2.0</t>
        </is>
      </c>
    </row>
    <row r="2">
      <c r="A2" s="2" t="inlineStr">
        <is>
          <t>Preencha as células em AZUL CLARO (Entradas) para calcular o resultado e o diagnóstico automático.</t>
        </is>
      </c>
    </row>
    <row r="4">
      <c r="A4" s="6" t="inlineStr">
        <is>
          <t>1. DADOS DO SEU ORÇAMENTO PESSOAL</t>
        </is>
      </c>
      <c r="B4" s="7" t="n"/>
      <c r="C4" s="7" t="n"/>
    </row>
    <row r="5">
      <c r="A5" s="8" t="inlineStr">
        <is>
          <t>Sua Renda Mensal Líquida (R$)</t>
        </is>
      </c>
      <c r="B5" s="9" t="n">
        <v>6000</v>
      </c>
      <c r="C5" s="10" t="inlineStr">
        <is>
          <t>Sua receita líquida mensal disponível</t>
        </is>
      </c>
    </row>
    <row r="6">
      <c r="A6" s="8" t="inlineStr">
        <is>
          <t>Sua Reserva de Emergência Intocável (R$)</t>
        </is>
      </c>
      <c r="B6" s="9" t="n">
        <v>25000</v>
      </c>
      <c r="C6" s="10" t="inlineStr">
        <is>
          <t>Guardada em renda fixa com liquidez diária</t>
        </is>
      </c>
    </row>
    <row r="7">
      <c r="A7" s="8" t="inlineStr">
        <is>
          <t>Teto Máximo Recomendado (% da Renda)</t>
        </is>
      </c>
      <c r="B7" s="11" t="n">
        <v>0.12</v>
      </c>
      <c r="C7" s="10" t="inlineStr">
        <is>
          <t>Sugerido de 10% a 12% máx para parcelas</t>
        </is>
      </c>
    </row>
    <row r="9">
      <c r="A9" s="6" t="inlineStr">
        <is>
          <t>2. DADOS DA PROPOSTA DE CONSÓRCIO (ENTRADAS)</t>
        </is>
      </c>
      <c r="B9" s="7" t="n"/>
      <c r="C9" s="7" t="n"/>
    </row>
    <row r="10">
      <c r="A10" s="8" t="inlineStr">
        <is>
          <t>Nome da Administradora / Grupo</t>
        </is>
      </c>
      <c r="B10" s="12" t="inlineStr">
        <is>
          <t>Rodobens - Plano Exclusivo</t>
        </is>
      </c>
      <c r="C10" s="10" t="inlineStr">
        <is>
          <t>Ex: Rodobens, Porto, Caixa, Itaú</t>
        </is>
      </c>
    </row>
    <row r="11">
      <c r="A11" s="8" t="inlineStr">
        <is>
          <t>Rating da Administradora</t>
        </is>
      </c>
      <c r="B11" s="12" t="inlineStr">
        <is>
          <t>AA+</t>
        </is>
      </c>
      <c r="C11" s="10" t="inlineStr">
        <is>
          <t>Classificação de risco de crédito (Ex: Fitch AA+)</t>
        </is>
      </c>
    </row>
    <row r="12">
      <c r="A12" s="8" t="inlineStr">
        <is>
          <t>Valor do Crédito da Carta (R$)</t>
        </is>
      </c>
      <c r="B12" s="9" t="n">
        <v>100000</v>
      </c>
      <c r="C12" s="10" t="inlineStr">
        <is>
          <t>Valor do crédito contratado por cota</t>
        </is>
      </c>
    </row>
    <row r="13">
      <c r="A13" s="8" t="inlineStr">
        <is>
          <t>Prazo Total do Grupo (Meses)</t>
        </is>
      </c>
      <c r="B13" s="13" t="n">
        <v>216</v>
      </c>
      <c r="C13" s="10" t="inlineStr">
        <is>
          <t>Prazo de duração do consórcio em meses</t>
        </is>
      </c>
    </row>
    <row r="14">
      <c r="A14" s="8" t="inlineStr">
        <is>
          <t>Valor da Parcela Mensal Cheia (R$)</t>
        </is>
      </c>
      <c r="B14" s="9" t="n">
        <v>644</v>
      </c>
      <c r="C14" s="10" t="inlineStr">
        <is>
          <t>Parcela mensal incluindo taxa e seguro</t>
        </is>
      </c>
    </row>
    <row r="15">
      <c r="A15" s="8" t="inlineStr">
        <is>
          <t>Quantidade Total de Cotas no Grupo</t>
        </is>
      </c>
      <c r="B15" s="13" t="n">
        <v>650</v>
      </c>
      <c r="C15" s="10" t="inlineStr">
        <is>
          <t>Número de cotas do grupo (Ex: 650 ou 2000)</t>
        </is>
      </c>
    </row>
    <row r="16">
      <c r="A16" s="8" t="inlineStr">
        <is>
          <t>Sorteios por Assembleia (por Mês)</t>
        </is>
      </c>
      <c r="B16" s="13" t="n">
        <v>2</v>
      </c>
      <c r="C16" s="10" t="inlineStr">
        <is>
          <t>Contemplações por sorteio puro a cada mês</t>
        </is>
      </c>
    </row>
    <row r="17">
      <c r="A17" s="8" t="inlineStr">
        <is>
          <t>Tipo de Parcela (Cheia ou Meia)</t>
        </is>
      </c>
      <c r="B17" s="12" t="inlineStr">
        <is>
          <t>Cheia</t>
        </is>
      </c>
      <c r="C17" s="10" t="inlineStr">
        <is>
          <t>Digite 'Cheia' ou 'Meia'</t>
        </is>
      </c>
    </row>
    <row r="18">
      <c r="A18" s="8" t="inlineStr">
        <is>
          <t>Junção de Grupos Diferentes Permite?</t>
        </is>
      </c>
      <c r="B18" s="12" t="inlineStr">
        <is>
          <t>Sim</t>
        </is>
      </c>
      <c r="C18" s="10" t="inlineStr">
        <is>
          <t>Digite 'Sim' ou 'Não'</t>
        </is>
      </c>
    </row>
    <row r="19">
      <c r="A19" s="8" t="inlineStr">
        <is>
          <t>Cessão de Crédito 100% Digital?</t>
        </is>
      </c>
      <c r="B19" s="12" t="inlineStr">
        <is>
          <t>Sim</t>
        </is>
      </c>
      <c r="C19" s="10" t="inlineStr">
        <is>
          <t>Digite 'Sim' ou 'Não'</t>
        </is>
      </c>
    </row>
    <row r="20">
      <c r="A20" s="8" t="inlineStr">
        <is>
          <t>Taxa de Inadimplência / Cancelados na Ata (%)</t>
        </is>
      </c>
      <c r="B20" s="11" t="n">
        <v>0.12</v>
      </c>
      <c r="C20" s="10" t="inlineStr">
        <is>
          <t>Porcentagem da ata oficial do grupo (Ex: 12%)</t>
        </is>
      </c>
    </row>
    <row r="21">
      <c r="A21" s="8" t="inlineStr">
        <is>
          <t>Mês Estimado de Contemplação p/ Venda</t>
        </is>
      </c>
      <c r="B21" s="13" t="n">
        <v>10</v>
      </c>
      <c r="C21" s="10" t="inlineStr">
        <is>
          <t>Ex: Mês 10, Mês 24 ou Mês 36</t>
        </is>
      </c>
    </row>
    <row r="23">
      <c r="A23" s="6" t="inlineStr">
        <is>
          <t>3. PREMISSAS DE VENDA E ÁGIO DA CARTA CONTEMPLADA</t>
        </is>
      </c>
      <c r="B23" s="7" t="n"/>
      <c r="C23" s="7" t="n"/>
    </row>
    <row r="24">
      <c r="A24" s="8" t="inlineStr">
        <is>
          <t>Valor Estimado de Venda do Ágio (R$)</t>
        </is>
      </c>
      <c r="B24" s="9" t="n">
        <v>28500</v>
      </c>
      <c r="C24" s="10" t="inlineStr">
        <is>
          <t>Valor recebido do comprador pela carta contemplada</t>
        </is>
      </c>
    </row>
    <row r="25">
      <c r="A25" s="8" t="inlineStr">
        <is>
          <t>INCC Anual Projetado (%)</t>
        </is>
      </c>
      <c r="B25" s="11" t="n">
        <v>0.06</v>
      </c>
      <c r="C25" s="10" t="inlineStr">
        <is>
          <t>Reajuste anual médio estimado (Ex: 6.0% a.a.)</t>
        </is>
      </c>
    </row>
    <row r="27">
      <c r="A27" s="6" t="inlineStr">
        <is>
          <t>4. RESULTADOS FINANCEIROS CALCULADOS (AUTOMÁTICO)</t>
        </is>
      </c>
      <c r="B27" s="7" t="n"/>
      <c r="C27" s="7" t="n"/>
    </row>
    <row r="28">
      <c r="A28" s="8" t="inlineStr">
        <is>
          <t>Comprometimento da Renda Mensal</t>
        </is>
      </c>
      <c r="B28" s="14">
        <f>B14/B5</f>
        <v/>
      </c>
      <c r="C28" s="10" t="inlineStr">
        <is>
          <t>Parcela ÷ Renda Mensal (Máx ideal: 12%)</t>
        </is>
      </c>
    </row>
    <row r="29">
      <c r="A29" s="8" t="inlineStr">
        <is>
          <t>Total Aportado em Parcelas até Venda</t>
        </is>
      </c>
      <c r="B29" s="15">
        <f>B21*B14</f>
        <v/>
      </c>
      <c r="C29" s="10" t="inlineStr">
        <is>
          <t>Mês de contemplação × Parcela mensal</t>
        </is>
      </c>
    </row>
    <row r="30">
      <c r="A30" s="8" t="inlineStr">
        <is>
          <t>Crédito Corrigido no Mês da Venda</t>
        </is>
      </c>
      <c r="B30" s="15">
        <f>B12*(1+B25)^(B21/12)</f>
        <v/>
      </c>
      <c r="C30" s="10" t="inlineStr">
        <is>
          <t>Valor da carta reajustado pelo INCC</t>
        </is>
      </c>
    </row>
    <row r="31">
      <c r="A31" s="8" t="inlineStr">
        <is>
          <t>Lucro Líquido Recebido da Venda</t>
        </is>
      </c>
      <c r="B31" s="15">
        <f>B24-B29</f>
        <v/>
      </c>
      <c r="C31" s="10" t="inlineStr">
        <is>
          <t>Valor do Ágio Recebido - Total Aportado</t>
        </is>
      </c>
    </row>
    <row r="32">
      <c r="A32" s="8" t="inlineStr">
        <is>
          <t>Rentabilidade % sobre Capital Aportado</t>
        </is>
      </c>
      <c r="B32" s="14">
        <f>B31/B29</f>
        <v/>
      </c>
      <c r="C32" s="10" t="inlineStr">
        <is>
          <t>Lucro Líquido ÷ Total Aportado</t>
        </is>
      </c>
    </row>
    <row r="33">
      <c r="A33" s="8" t="inlineStr">
        <is>
          <t>Enquadramento Fiscal Isenção de IR</t>
        </is>
      </c>
      <c r="B33" s="16">
        <f>IF(B24&lt;=35000, "ISENTO (Venda &lt;= R$ 35k)", "TRIBUTADO (15% sobre Ganho de Capital)")</f>
        <v/>
      </c>
      <c r="C33" s="10" t="inlineStr">
        <is>
          <t>Regra de bens de pequeno valor da Receita Federal</t>
        </is>
      </c>
    </row>
    <row r="34">
      <c r="A34" s="8" t="inlineStr">
        <is>
          <t>Probabilidade % de Sorteio no Plano</t>
        </is>
      </c>
      <c r="B34" s="14">
        <f>(B13*B16)/B15</f>
        <v/>
      </c>
      <c r="C34" s="10" t="inlineStr">
        <is>
          <t>(Prazo em meses × Sorteios por mês) ÷ Total Cotas</t>
        </is>
      </c>
    </row>
    <row r="36">
      <c r="A36" s="6" t="inlineStr">
        <is>
          <t>5. CHECKLIST E DIAGNÓSTICO FINAL DA PROPOSTA</t>
        </is>
      </c>
      <c r="B36" s="7" t="n"/>
      <c r="C36" s="7" t="n"/>
    </row>
    <row r="37">
      <c r="A37" s="8" t="inlineStr">
        <is>
          <t>Tamanho do Grupo (Enxuto &lt;= 650 cotas)</t>
        </is>
      </c>
      <c r="B37" s="16">
        <f>IF(B15&lt;=650, "🟢 PASSA (Grupo Enxuto)", "🔴 ALERTA (Grupo Grande)")</f>
        <v/>
      </c>
      <c r="C37" s="10" t="inlineStr">
        <is>
          <t>Avaliação automática baseada nas regras das Aulas</t>
        </is>
      </c>
    </row>
    <row r="38">
      <c r="A38" s="8" t="inlineStr">
        <is>
          <t>Frequência de Sorteios (&gt;= 2 por mês)</t>
        </is>
      </c>
      <c r="B38" s="16">
        <f>IF(B16&gt;=2, "🟢 PASSA (2+ Sorteios/mês)", "🔴 ALERTA (Poucos Sorteios)")</f>
        <v/>
      </c>
      <c r="C38" s="10" t="inlineStr">
        <is>
          <t>Avaliação automática baseada nas regras das Aulas</t>
        </is>
      </c>
    </row>
    <row r="39">
      <c r="A39" s="8" t="inlineStr">
        <is>
          <t>Tipo de Parcela (Deverá ser Cheia)</t>
        </is>
      </c>
      <c r="B39" s="16">
        <f>IF(LOWER(B17)="cheia", "🟢 PASSA (Parcela Cheia)", "🔴 REPROVADO (Meia Parcela)")</f>
        <v/>
      </c>
      <c r="C39" s="10" t="inlineStr">
        <is>
          <t>Avaliação automática baseada nas regras das Aulas</t>
        </is>
      </c>
    </row>
    <row r="40">
      <c r="A40" s="8" t="inlineStr">
        <is>
          <t>Junção de Grupos Diferentes Permite?</t>
        </is>
      </c>
      <c r="B40" s="16">
        <f>IF(LOWER(B18)="sim", "🟢 PASSA (Flexível)", "🔴 REPROVADO (Restrito)")</f>
        <v/>
      </c>
      <c r="C40" s="10" t="inlineStr">
        <is>
          <t>Avaliação automática baseada nas regras das Aulas</t>
        </is>
      </c>
    </row>
    <row r="41">
      <c r="A41" s="8" t="inlineStr">
        <is>
          <t>Cessão de Crédito Digital?</t>
        </is>
      </c>
      <c r="B41" s="16">
        <f>IF(LOWER(B19)="sim", "🟢 PASSA (Digital/Rápido)", "🔴 ALERTA (Burocrático)")</f>
        <v/>
      </c>
      <c r="C41" s="10" t="inlineStr">
        <is>
          <t>Avaliação automática baseada nas regras das Aulas</t>
        </is>
      </c>
    </row>
    <row r="42">
      <c r="A42" s="8" t="inlineStr">
        <is>
          <t>Inadimplência na Ata do Grupo (&lt;= 20%)</t>
        </is>
      </c>
      <c r="B42" s="16">
        <f>IF(B20&lt;=0.2, "🟢 PASSA (Saudável)", "🔴 ALERTA (Inadimplência Alta)")</f>
        <v/>
      </c>
      <c r="C42" s="10" t="inlineStr">
        <is>
          <t>Avaliação automática baseada nas regras das Aulas</t>
        </is>
      </c>
    </row>
    <row r="43">
      <c r="A43" s="8" t="inlineStr">
        <is>
          <t>Comprometimento Orçamentário (&lt;= 12%)</t>
        </is>
      </c>
      <c r="B43" s="16">
        <f>IF(B28&lt;=B7, "🟢 PASSA (Orçamento Seguro)", "🔴 ALERTA (Parcela Pesada)")</f>
        <v/>
      </c>
      <c r="C43" s="10" t="inlineStr">
        <is>
          <t>Avaliação automática baseada nas regras das Aulas</t>
        </is>
      </c>
    </row>
    <row r="44">
      <c r="A44" s="8" t="inlineStr">
        <is>
          <t>DIAGNÓSTICO GERAL DA PROPOSTA</t>
        </is>
      </c>
      <c r="B44" s="17">
        <f>IF(AND(B15&lt;=650, B16&gt;=2, LOWER(B17)="cheia", LOWER(B18)="sim", B28&lt;=B7), "✅ PROPOSTA EXCELENTE PARA INVESTIR", "⚠️ REQUER ATENÇÃO OU AJUSTES")</f>
        <v/>
      </c>
      <c r="C44" s="10" t="inlineStr">
        <is>
          <t>Avaliação automática baseada nas regras das Aulas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COMPARADOR SIDE-BY-SIDE DE PROPOSTAS DE CONSÓRCIOS</t>
        </is>
      </c>
    </row>
    <row r="2">
      <c r="A2" s="2" t="inlineStr">
        <is>
          <t>Compare até 3 opções para identificar a melhor engenharia financeira.</t>
        </is>
      </c>
    </row>
    <row r="4">
      <c r="A4" s="3" t="inlineStr">
        <is>
          <t>Item de Comparação</t>
        </is>
      </c>
      <c r="B4" s="3" t="inlineStr">
        <is>
          <t>Proposta A (Plano Exclusivo)</t>
        </is>
      </c>
      <c r="C4" s="3" t="inlineStr">
        <is>
          <t>Proposta B (Banco Comercial)</t>
        </is>
      </c>
      <c r="D4" s="3" t="inlineStr">
        <is>
          <t>Proposta C (Fintech / Digital)</t>
        </is>
      </c>
    </row>
    <row r="5">
      <c r="A5" s="8" t="inlineStr">
        <is>
          <t>Administradora</t>
        </is>
      </c>
      <c r="B5" s="18" t="inlineStr">
        <is>
          <t>Rodobens Consórcios</t>
        </is>
      </c>
      <c r="C5" s="18" t="inlineStr">
        <is>
          <t>Banco Comercial Tradicional</t>
        </is>
      </c>
      <c r="D5" s="18" t="inlineStr">
        <is>
          <t>Fintech / Startup</t>
        </is>
      </c>
    </row>
    <row r="6">
      <c r="A6" s="8" t="inlineStr">
        <is>
          <t>Rating de Crédito da Empresa</t>
        </is>
      </c>
      <c r="B6" s="18" t="inlineStr">
        <is>
          <t>AA+ (Fitch Ratings)</t>
        </is>
      </c>
      <c r="C6" s="18" t="inlineStr">
        <is>
          <t>Sem avaliação explicitada</t>
        </is>
      </c>
      <c r="D6" s="18" t="inlineStr">
        <is>
          <t>Sem rating publicado</t>
        </is>
      </c>
    </row>
    <row r="7">
      <c r="A7" s="8" t="inlineStr">
        <is>
          <t>Valor do Crédito por Cota (R$)</t>
        </is>
      </c>
      <c r="B7" s="19" t="n">
        <v>100000</v>
      </c>
      <c r="C7" s="19" t="n">
        <v>100000</v>
      </c>
      <c r="D7" s="19" t="n">
        <v>100000</v>
      </c>
    </row>
    <row r="8">
      <c r="A8" s="8" t="inlineStr">
        <is>
          <t>Prazo Total do Grupo (Meses)</t>
        </is>
      </c>
      <c r="B8" s="18" t="n">
        <v>216</v>
      </c>
      <c r="C8" s="18" t="n">
        <v>180</v>
      </c>
      <c r="D8" s="18" t="n">
        <v>200</v>
      </c>
    </row>
    <row r="9">
      <c r="A9" s="8" t="inlineStr">
        <is>
          <t>Valor da Parcela Mensal (R$)</t>
        </is>
      </c>
      <c r="B9" s="19" t="n">
        <v>644</v>
      </c>
      <c r="C9" s="19" t="n">
        <v>680</v>
      </c>
      <c r="D9" s="19" t="n">
        <v>620</v>
      </c>
    </row>
    <row r="10">
      <c r="A10" s="8" t="inlineStr">
        <is>
          <t>Quantidade Total de Cotas no Grupo</t>
        </is>
      </c>
      <c r="B10" s="18" t="n">
        <v>650</v>
      </c>
      <c r="C10" s="18" t="n">
        <v>2500</v>
      </c>
      <c r="D10" s="18" t="n">
        <v>400</v>
      </c>
    </row>
    <row r="11">
      <c r="A11" s="8" t="inlineStr">
        <is>
          <t>Sorteios por Assembleia (por Mês)</t>
        </is>
      </c>
      <c r="B11" s="18" t="n">
        <v>2</v>
      </c>
      <c r="C11" s="18" t="n">
        <v>1</v>
      </c>
      <c r="D11" s="18" t="n">
        <v>1</v>
      </c>
    </row>
    <row r="12">
      <c r="A12" s="8" t="inlineStr">
        <is>
          <t>Tipo de Parcela</t>
        </is>
      </c>
      <c r="B12" s="18" t="inlineStr">
        <is>
          <t>Cheia (100%)</t>
        </is>
      </c>
      <c r="C12" s="18" t="inlineStr">
        <is>
          <t>Meia Parcela (50%)</t>
        </is>
      </c>
      <c r="D12" s="18" t="inlineStr">
        <is>
          <t>Meia Parcela (50%)</t>
        </is>
      </c>
    </row>
    <row r="13">
      <c r="A13" s="8" t="inlineStr">
        <is>
          <t>Junção de Grupos Diferentes?</t>
        </is>
      </c>
      <c r="B13" s="18" t="inlineStr">
        <is>
          <t>Sim (Livre)</t>
        </is>
      </c>
      <c r="C13" s="18" t="inlineStr">
        <is>
          <t>Não (Somente mesmo grupo)</t>
        </is>
      </c>
      <c r="D13" s="18" t="inlineStr">
        <is>
          <t>Restrito</t>
        </is>
      </c>
    </row>
    <row r="14">
      <c r="A14" s="8" t="inlineStr">
        <is>
          <t>Processo de Cessão de Crédito</t>
        </is>
      </c>
      <c r="B14" s="18" t="inlineStr">
        <is>
          <t>100% Digital / Biometria</t>
        </is>
      </c>
      <c r="C14" s="18" t="inlineStr">
        <is>
          <t>Presencial em Cartório</t>
        </is>
      </c>
      <c r="D14" s="18" t="inlineStr">
        <is>
          <t>Digital</t>
        </is>
      </c>
    </row>
    <row r="15">
      <c r="A15" s="8" t="inlineStr">
        <is>
          <t>Inadimplência / Cancelados na Ata</t>
        </is>
      </c>
      <c r="B15" s="18" t="inlineStr">
        <is>
          <t>12% (Saudável)</t>
        </is>
      </c>
      <c r="C15" s="18" t="inlineStr">
        <is>
          <t>45% (Alta desistência)</t>
        </is>
      </c>
      <c r="D15" s="18" t="inlineStr">
        <is>
          <t>28% (Média/Alta)</t>
        </is>
      </c>
    </row>
    <row r="16">
      <c r="A16" s="8" t="inlineStr">
        <is>
          <t>Probabilidade % Sorteio no Plano</t>
        </is>
      </c>
      <c r="B16" s="20">
        <f>(B7*B10)/B9</f>
        <v/>
      </c>
      <c r="C16" s="20">
        <f>(C7*C10)/C9</f>
        <v/>
      </c>
      <c r="D16" s="20">
        <f>(D7*D10)/D9</f>
        <v/>
      </c>
    </row>
    <row r="17">
      <c r="A17" s="8" t="inlineStr">
        <is>
          <t>Total Aportado em 10 Meses (R$)</t>
        </is>
      </c>
      <c r="B17" s="18">
        <f>B8*10</f>
        <v/>
      </c>
      <c r="C17" s="18">
        <f>C8*10</f>
        <v/>
      </c>
      <c r="D17" s="18">
        <f>D8*10</f>
        <v/>
      </c>
    </row>
    <row r="18">
      <c r="A18" s="8" t="inlineStr">
        <is>
          <t>Estimativa de Venda do Ágio (R$)</t>
        </is>
      </c>
      <c r="B18" s="19" t="n">
        <v>28500</v>
      </c>
      <c r="C18" s="19" t="n">
        <v>18000</v>
      </c>
      <c r="D18" s="19" t="n">
        <v>20000</v>
      </c>
    </row>
    <row r="19">
      <c r="A19" s="8" t="inlineStr">
        <is>
          <t>Lucro Líquido Estimado (R$)</t>
        </is>
      </c>
      <c r="B19" s="18">
        <f>B17-B16</f>
        <v/>
      </c>
      <c r="C19" s="18">
        <f>C17-C16</f>
        <v/>
      </c>
      <c r="D19" s="18">
        <f>D17-D16</f>
        <v/>
      </c>
    </row>
    <row r="20">
      <c r="A20" s="8" t="inlineStr">
        <is>
          <t>Avaliação Geral de Engenharia</t>
        </is>
      </c>
      <c r="B20" s="18" t="inlineStr">
        <is>
          <t>🟢 EXCELENTE (Alta Probabilidade)</t>
        </is>
      </c>
      <c r="C20" s="18" t="inlineStr">
        <is>
          <t>🔴 REPROVADO (Grupo Gigante/Meia)</t>
        </is>
      </c>
      <c r="D20" s="18" t="inlineStr">
        <is>
          <t>🟡 ATENÇÃO (Inadimplência/Caixa)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SIMULAÇÃO DA EVOLUÇÃO DO INCC E IMPACTO NO TEMPO</t>
        </is>
      </c>
    </row>
    <row r="2">
      <c r="A2" s="2" t="inlineStr">
        <is>
          <t>Veja como a parcela reajusta, mas o crédito e o ágio sobem cobrindo com folga o investimento.</t>
        </is>
      </c>
    </row>
    <row r="4">
      <c r="A4" s="3" t="inlineStr">
        <is>
          <t>Ano</t>
        </is>
      </c>
      <c r="B4" s="3" t="inlineStr">
        <is>
          <t>Parcela Reajustada (R$)</t>
        </is>
      </c>
      <c r="C4" s="3" t="inlineStr">
        <is>
          <t>Total Aportado Acumulado (R$)</t>
        </is>
      </c>
      <c r="D4" s="3" t="inlineStr">
        <is>
          <t>Crédito Corrigido pelo INCC (R$)</t>
        </is>
      </c>
      <c r="E4" s="3" t="inlineStr">
        <is>
          <t>Estimativa de Ágio de Venda (R$)</t>
        </is>
      </c>
      <c r="F4" s="3" t="inlineStr">
        <is>
          <t>Lucro Líquido (R$)</t>
        </is>
      </c>
      <c r="G4" s="3" t="inlineStr">
        <is>
          <t>Rentabilidade %</t>
        </is>
      </c>
    </row>
    <row r="5">
      <c r="A5" s="21" t="inlineStr">
        <is>
          <t>Ano 1</t>
        </is>
      </c>
      <c r="B5" s="22">
        <f>644*(1+0.06)^(1-1)</f>
        <v/>
      </c>
      <c r="C5" s="22">
        <f>B5*12*1</f>
        <v/>
      </c>
      <c r="D5" s="22">
        <f>100000*(1+0.06)^1</f>
        <v/>
      </c>
      <c r="E5" s="22">
        <f>28500*(1+0.06)^1</f>
        <v/>
      </c>
      <c r="F5" s="15">
        <f>E5-C5</f>
        <v/>
      </c>
      <c r="G5" s="23">
        <f>F5/C5</f>
        <v/>
      </c>
    </row>
    <row r="6">
      <c r="A6" s="21" t="inlineStr">
        <is>
          <t>Ano 2</t>
        </is>
      </c>
      <c r="B6" s="22">
        <f>644*(1+0.06)^(2-1)</f>
        <v/>
      </c>
      <c r="C6" s="22">
        <f>B6*12*2</f>
        <v/>
      </c>
      <c r="D6" s="22">
        <f>100000*(1+0.06)^2</f>
        <v/>
      </c>
      <c r="E6" s="22">
        <f>28500*(1+0.06)^2</f>
        <v/>
      </c>
      <c r="F6" s="15">
        <f>E6-C6</f>
        <v/>
      </c>
      <c r="G6" s="23">
        <f>F6/C6</f>
        <v/>
      </c>
    </row>
    <row r="7">
      <c r="A7" s="21" t="inlineStr">
        <is>
          <t>Ano 3</t>
        </is>
      </c>
      <c r="B7" s="22">
        <f>644*(1+0.06)^(3-1)</f>
        <v/>
      </c>
      <c r="C7" s="22">
        <f>B7*12*3</f>
        <v/>
      </c>
      <c r="D7" s="22">
        <f>100000*(1+0.06)^3</f>
        <v/>
      </c>
      <c r="E7" s="22">
        <f>28500*(1+0.06)^3</f>
        <v/>
      </c>
      <c r="F7" s="15">
        <f>E7-C7</f>
        <v/>
      </c>
      <c r="G7" s="23">
        <f>F7/C7</f>
        <v/>
      </c>
    </row>
    <row r="8">
      <c r="A8" s="21" t="inlineStr">
        <is>
          <t>Ano 4</t>
        </is>
      </c>
      <c r="B8" s="22">
        <f>644*(1+0.06)^(4-1)</f>
        <v/>
      </c>
      <c r="C8" s="22">
        <f>B8*12*4</f>
        <v/>
      </c>
      <c r="D8" s="22">
        <f>100000*(1+0.06)^4</f>
        <v/>
      </c>
      <c r="E8" s="22">
        <f>28500*(1+0.06)^4</f>
        <v/>
      </c>
      <c r="F8" s="15">
        <f>E8-C8</f>
        <v/>
      </c>
      <c r="G8" s="23">
        <f>F8/C8</f>
        <v/>
      </c>
    </row>
    <row r="9">
      <c r="A9" s="21" t="inlineStr">
        <is>
          <t>Ano 5</t>
        </is>
      </c>
      <c r="B9" s="22">
        <f>644*(1+0.06)^(5-1)</f>
        <v/>
      </c>
      <c r="C9" s="22">
        <f>B9*12*5</f>
        <v/>
      </c>
      <c r="D9" s="22">
        <f>100000*(1+0.06)^5</f>
        <v/>
      </c>
      <c r="E9" s="22">
        <f>28500*(1+0.06)^5</f>
        <v/>
      </c>
      <c r="F9" s="15">
        <f>E9-C9</f>
        <v/>
      </c>
      <c r="G9" s="23">
        <f>F9/C9</f>
        <v/>
      </c>
    </row>
    <row r="10">
      <c r="A10" s="21" t="inlineStr">
        <is>
          <t>Ano 6</t>
        </is>
      </c>
      <c r="B10" s="22">
        <f>644*(1+0.06)^(6-1)</f>
        <v/>
      </c>
      <c r="C10" s="22">
        <f>B10*12*6</f>
        <v/>
      </c>
      <c r="D10" s="22">
        <f>100000*(1+0.06)^6</f>
        <v/>
      </c>
      <c r="E10" s="22">
        <f>28500*(1+0.06)^6</f>
        <v/>
      </c>
      <c r="F10" s="15">
        <f>E10-C10</f>
        <v/>
      </c>
      <c r="G10" s="23">
        <f>F10/C10</f>
        <v/>
      </c>
    </row>
    <row r="11">
      <c r="A11" s="21" t="inlineStr">
        <is>
          <t>Ano 7</t>
        </is>
      </c>
      <c r="B11" s="22">
        <f>644*(1+0.06)^(7-1)</f>
        <v/>
      </c>
      <c r="C11" s="22">
        <f>B11*12*7</f>
        <v/>
      </c>
      <c r="D11" s="22">
        <f>100000*(1+0.06)^7</f>
        <v/>
      </c>
      <c r="E11" s="22">
        <f>28500*(1+0.06)^7</f>
        <v/>
      </c>
      <c r="F11" s="15">
        <f>E11-C11</f>
        <v/>
      </c>
      <c r="G11" s="23">
        <f>F11/C11</f>
        <v/>
      </c>
    </row>
    <row r="12">
      <c r="A12" s="21" t="inlineStr">
        <is>
          <t>Ano 8</t>
        </is>
      </c>
      <c r="B12" s="22">
        <f>644*(1+0.06)^(8-1)</f>
        <v/>
      </c>
      <c r="C12" s="22">
        <f>B12*12*8</f>
        <v/>
      </c>
      <c r="D12" s="22">
        <f>100000*(1+0.06)^8</f>
        <v/>
      </c>
      <c r="E12" s="22">
        <f>28500*(1+0.06)^8</f>
        <v/>
      </c>
      <c r="F12" s="15">
        <f>E12-C12</f>
        <v/>
      </c>
      <c r="G12" s="23">
        <f>F12/C12</f>
        <v/>
      </c>
    </row>
    <row r="13">
      <c r="A13" s="21" t="inlineStr">
        <is>
          <t>Ano 9</t>
        </is>
      </c>
      <c r="B13" s="22">
        <f>644*(1+0.06)^(9-1)</f>
        <v/>
      </c>
      <c r="C13" s="22">
        <f>B13*12*9</f>
        <v/>
      </c>
      <c r="D13" s="22">
        <f>100000*(1+0.06)^9</f>
        <v/>
      </c>
      <c r="E13" s="22">
        <f>28500*(1+0.06)^9</f>
        <v/>
      </c>
      <c r="F13" s="15">
        <f>E13-C13</f>
        <v/>
      </c>
      <c r="G13" s="23">
        <f>F13/C13</f>
        <v/>
      </c>
    </row>
    <row r="14">
      <c r="A14" s="21" t="inlineStr">
        <is>
          <t>Ano 10</t>
        </is>
      </c>
      <c r="B14" s="22">
        <f>644*(1+0.06)^(10-1)</f>
        <v/>
      </c>
      <c r="C14" s="22">
        <f>B14*12*10</f>
        <v/>
      </c>
      <c r="D14" s="22">
        <f>100000*(1+0.06)^10</f>
        <v/>
      </c>
      <c r="E14" s="22">
        <f>28500*(1+0.06)^10</f>
        <v/>
      </c>
      <c r="F14" s="15">
        <f>E14-C14</f>
        <v/>
      </c>
      <c r="G14" s="23">
        <f>F14/C14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2026-09-30T14:05:56Z</dcterms:created>
  <dcterms:modified xmlns:dcterms="http://purl.org/dc/terms/" xmlns:xsi="http://www.w3.org/2001/XMLSchema-instance" xsi:type="dcterms:W3CDTF">2026-09-30T14:05:56Z</dcterms:modified>
</cp:coreProperties>
</file>